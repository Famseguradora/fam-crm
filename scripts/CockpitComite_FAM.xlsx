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álculo Prêmio" sheetId="2" r:id="rId2"/>
    <sheet name="Taxa Méd Pond (TMP)" sheetId="3" r:id="rId3"/>
    <sheet name="Meta vs Realizado" sheetId="4" r:id="rId4"/>
    <sheet name="Composição Taxa" sheetId="5" r:id="rId5"/>
    <sheet name="Simulação Impact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<sst xmlns="http://schemas.openxmlformats.org/spreadsheetml/2006/main" count="143" uniqueCount="117">
  <si>
    <t>COCKPIT DE COMITÊ DE SUBSCRIÇÃO — FAM SEGURADORA</t>
  </si>
  <si>
    <t>Portfólio em Carteira (Book = Aprovado + Emitido) — Maio/2026</t>
  </si>
  <si>
    <t>Indicador</t>
  </si>
  <si>
    <t>Valor</t>
  </si>
  <si>
    <t>Meta</t>
  </si>
  <si>
    <t>% Atingido</t>
  </si>
  <si>
    <t>Situação</t>
  </si>
  <si>
    <t>Prêmio Realizado no Mês</t>
  </si>
  <si>
    <t>Atenção</t>
  </si>
  <si>
    <t>Prêmio Realizado no Ano</t>
  </si>
  <si>
    <t>Crítico</t>
  </si>
  <si>
    <t>LMG Total em Carteira</t>
  </si>
  <si>
    <t>Normal</t>
  </si>
  <si>
    <t>Taxa Média Ponderada (TMP)</t>
  </si>
  <si>
    <t>Abaixo da meta</t>
  </si>
  <si>
    <t>Operações Ativas (Book)</t>
  </si>
  <si>
    <t>Risco Judicial Provisionado</t>
  </si>
  <si>
    <t>—</t>
  </si>
  <si>
    <t>Informativo</t>
  </si>
  <si>
    <t>CÁLCULO DE PRÊMIO PREVISTO — LMG × Taxa × Vigência</t>
  </si>
  <si>
    <t>As células em amarelo contêm fórmulas — altere LMG, Taxa ou Vigência para recalcular o Prêmio automaticamente.</t>
  </si>
  <si>
    <t>Tomador</t>
  </si>
  <si>
    <t>Modalidade</t>
  </si>
  <si>
    <t>LMG (R$)</t>
  </si>
  <si>
    <t>Taxa (% a.a.)</t>
  </si>
  <si>
    <t>Vigência (anos)</t>
  </si>
  <si>
    <t>Prêmio Previsto (R$)</t>
  </si>
  <si>
    <t>ABC Engenharia Ltda</t>
  </si>
  <si>
    <t>Performance</t>
  </si>
  <si>
    <t>XYZ Construções S.A.</t>
  </si>
  <si>
    <t>Pagamento</t>
  </si>
  <si>
    <t>Beta Infraestrutura</t>
  </si>
  <si>
    <t>Gama Logística</t>
  </si>
  <si>
    <t>Judicial</t>
  </si>
  <si>
    <t>Delta Energia</t>
  </si>
  <si>
    <t>Licitação</t>
  </si>
  <si>
    <t>TOTAL</t>
  </si>
  <si>
    <t/>
  </si>
  <si>
    <t>Fórmula:</t>
  </si>
  <si>
    <t>Prêmio Previsto = LMG × Taxa (decimal) × Vigência (anos)</t>
  </si>
  <si>
    <t>Exemplo:</t>
  </si>
  <si>
    <t>R$ 5.000.000 × 1,25% × 2 anos = R$ 125.000,00</t>
  </si>
  <si>
    <t>TAXA MÉDIA PONDERADA (TMP) DO PORTFÓLIO</t>
  </si>
  <si>
    <t>TMP = Σ(Taxa × LMG) ÷ Σ(LMG)  —  Operações mais pesadas (LMG maior) têm mais impacto na taxa média.</t>
  </si>
  <si>
    <t>Taxa × LMG (peso)</t>
  </si>
  <si>
    <t>% do Book LMG</t>
  </si>
  <si>
    <t>Contribuição TMP</t>
  </si>
  <si>
    <t>Sigma Obras</t>
  </si>
  <si>
    <t>Omega Contratações</t>
  </si>
  <si>
    <t>TOTAL / TMP</t>
  </si>
  <si>
    <t>TMP Calculada:</t>
  </si>
  <si>
    <t>= Σ(D5:D11) / Σ(B5:B11) — TMP ponderada pelo LMG de cada operação</t>
  </si>
  <si>
    <t>Meta TMP:</t>
  </si>
  <si>
    <t>Configurada pelo CEO na seção "Configurar Metas" do CRM</t>
  </si>
  <si>
    <t>PAINEL META vs REALIZADO — MAIO/2026</t>
  </si>
  <si>
    <t>Metas configuradas pelo CEO no CRM. Realizado = operações com status Emitido no período.</t>
  </si>
  <si>
    <t>Meta Mês</t>
  </si>
  <si>
    <t>Realizado Mês</t>
  </si>
  <si>
    <t>% Atingido Mês</t>
  </si>
  <si>
    <t>Gap Mês</t>
  </si>
  <si>
    <t>Meta Ano</t>
  </si>
  <si>
    <t>Realizado Ano</t>
  </si>
  <si>
    <t>% Atingido Ano</t>
  </si>
  <si>
    <t>Prêmio (R$)</t>
  </si>
  <si>
    <t>LMG em Carteira (R$)</t>
  </si>
  <si>
    <t>Qtd Operações</t>
  </si>
  <si>
    <t>TMP (%)</t>
  </si>
  <si>
    <t>Semáforo de Progresso</t>
  </si>
  <si>
    <t>&gt; 80%</t>
  </si>
  <si>
    <t>🟢 Verde</t>
  </si>
  <si>
    <t>No caminho — bom desempenho</t>
  </si>
  <si>
    <t>50% a 80%</t>
  </si>
  <si>
    <t>🟡 Amarelo</t>
  </si>
  <si>
    <t>Atenção — recuperação necessária</t>
  </si>
  <si>
    <t>&lt; 50%</t>
  </si>
  <si>
    <t>🔴 Vermelho</t>
  </si>
  <si>
    <t>Crítico — priorizar aprovações no comitê</t>
  </si>
  <si>
    <t>COMPOSIÇÃO DE TAXA — TAXA TÉCNICA MÍNIMA E FOLGA</t>
  </si>
  <si>
    <t>Taxa Técnica Mínima = Sinistralidade + Carregamento + Margem Técnica  |  Folga = Taxa da Operação − Taxa Técnica Mínima</t>
  </si>
  <si>
    <t>Operação</t>
  </si>
  <si>
    <t>Sinistralidade</t>
  </si>
  <si>
    <t>Carregamento</t>
  </si>
  <si>
    <t>Margem Técnica</t>
  </si>
  <si>
    <t>Taxa Téc. Mínima</t>
  </si>
  <si>
    <t>Taxa Operação</t>
  </si>
  <si>
    <t>Folga</t>
  </si>
  <si>
    <t>Adequação</t>
  </si>
  <si>
    <t>ABC Engenharia — Performance</t>
  </si>
  <si>
    <t>✅ Adequada</t>
  </si>
  <si>
    <t>XYZ Construções — Pagamento</t>
  </si>
  <si>
    <t>Beta Infraestrutura — Perf.</t>
  </si>
  <si>
    <t>Gama Logística — Judicial</t>
  </si>
  <si>
    <t>❌ Insuficiente</t>
  </si>
  <si>
    <t>Delta Energia — Licitação</t>
  </si>
  <si>
    <t>Sigma Obras — Performance</t>
  </si>
  <si>
    <t>Nova Op. Hipotética — Judicial</t>
  </si>
  <si>
    <t>SIMULAÇÃO DE IMPACTO — SE ESTA OPERAÇÃO FOR APROVADA</t>
  </si>
  <si>
    <t>Operação Simulada: ABC Engenharia — Performance — LMG R$ 5.000.000 — Taxa 1,25% — 2 anos — Prêmio R$ 125.000</t>
  </si>
  <si>
    <t>Indicador do Portfólio</t>
  </si>
  <si>
    <t>Antes da Aprovação</t>
  </si>
  <si>
    <t>Esta Operação</t>
  </si>
  <si>
    <t>Após Aprovação</t>
  </si>
  <si>
    <t>Variação (%)</t>
  </si>
  <si>
    <t>LMG Total em Carteira (R$)</t>
  </si>
  <si>
    <t>Prêmio Total em Carteira (R$)</t>
  </si>
  <si>
    <t>Qtd Operações Ativas</t>
  </si>
  <si>
    <t>CONCENTRAÇÃO POR MODALIDADE (% do Prêmio Total)</t>
  </si>
  <si>
    <t>Prêmio Antes</t>
  </si>
  <si>
    <t>% Antes</t>
  </si>
  <si>
    <t>Prêmio Depois</t>
  </si>
  <si>
    <t>% Depois</t>
  </si>
  <si>
    <t>CONTRIBUIÇÃO PARA A META MENSAL DE PRÊMIO</t>
  </si>
  <si>
    <t>Meta Mensal de Prêmio</t>
  </si>
  <si>
    <t>Prêmio Realizado Atual</t>
  </si>
  <si>
    <t>+ Esta Operação</t>
  </si>
  <si>
    <t>Novo Patamar</t>
  </si>
  <si>
    <t>Gap Restante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</si>
</sst>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8.83203125" customWidth="1"/>
    <col min="2" max="2" width="20.83203125" customWidth="1"/>
    <col min="3" max="3" width="20.83203125" customWidth="1"/>
    <col min="4" max="4" width="14.83203125" customWidth="1"/>
    <col min="5" max="5" width="18.83203125" customWidth="1"/>
  </cols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>
        <v>1110500</v>
      </c>
      <c r="C5">
        <v>2000000</v>
      </c>
      <c r="D5">
        <f>B5/C5</f>
        <v>0.55525</v>
      </c>
      <c r="E5" t="s">
        <v>8</v>
      </c>
    </row>
    <row r="6">
      <c r="A6" t="s">
        <v>9</v>
      </c>
      <c r="B6">
        <v>11068192.79</v>
      </c>
      <c r="C6">
        <v>25000000</v>
      </c>
      <c r="D6">
        <f>B6/C6</f>
        <v>0.44272771159999996</v>
      </c>
      <c r="E6" t="s">
        <v>10</v>
      </c>
    </row>
    <row r="7">
      <c r="A7" t="s">
        <v>11</v>
      </c>
      <c r="B7">
        <v>362758302</v>
      </c>
      <c r="C7">
        <v>400000000</v>
      </c>
      <c r="D7">
        <f>B7/C7</f>
        <v>0.906895755</v>
      </c>
      <c r="E7" t="s">
        <v>12</v>
      </c>
    </row>
    <row r="8">
      <c r="A8" t="s">
        <v>13</v>
      </c>
      <c r="B8">
        <v>0.011502</v>
      </c>
      <c r="C8">
        <v>0.012</v>
      </c>
      <c r="D8">
        <f>B8/C8</f>
        <v>0.9585</v>
      </c>
      <c r="E8" t="s">
        <v>14</v>
      </c>
    </row>
    <row r="9">
      <c r="A9" t="s">
        <v>15</v>
      </c>
      <c r="B9">
        <v>17</v>
      </c>
      <c r="C9">
        <v>20</v>
      </c>
      <c r="D9">
        <f>B9/C9</f>
        <v>0.85</v>
      </c>
      <c r="E9" t="s">
        <v>12</v>
      </c>
    </row>
    <row r="10">
      <c r="A10" t="s">
        <v>16</v>
      </c>
      <c r="B10">
        <v>2400000</v>
      </c>
      <c r="C10" t="s">
        <v>17</v>
      </c>
      <c r="D10" t="s">
        <v>17</v>
      </c>
      <c r="E10" t="s">
        <v>18</v>
      </c>
    </row>
  </sheetData>
  <mergeCells count="2">
    <mergeCell ref="A1:E1"/>
    <mergeCell ref="A2:E2"/>
  </mergeCells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30.83203125" customWidth="1"/>
    <col min="2" max="2" width="16.83203125" customWidth="1"/>
    <col min="3" max="3" width="18.83203125" customWidth="1"/>
    <col min="4" max="4" width="16.83203125" customWidth="1"/>
    <col min="5" max="5" width="16.83203125" customWidth="1"/>
    <col min="6" max="6" width="22.83203125" customWidth="1"/>
  </cols>
  <sheetData>
    <row r="1">
      <c r="A1" t="s">
        <v>19</v>
      </c>
    </row>
    <row r="2">
      <c r="A2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>
      <c r="A5" t="s">
        <v>27</v>
      </c>
      <c r="B5" t="s">
        <v>28</v>
      </c>
      <c r="C5">
        <v>5000000</v>
      </c>
      <c r="D5">
        <v>0.0125</v>
      </c>
      <c r="E5">
        <v>2</v>
      </c>
      <c r="F5">
        <f>C5*D5*E5</f>
        <v>125000</v>
      </c>
    </row>
    <row r="6">
      <c r="A6" t="s">
        <v>29</v>
      </c>
      <c r="B6" t="s">
        <v>30</v>
      </c>
      <c r="C6">
        <v>3800000</v>
      </c>
      <c r="D6">
        <v>0.0095</v>
      </c>
      <c r="E6">
        <v>3</v>
      </c>
      <c r="F6">
        <f>C6*D6*E6</f>
        <v>108300</v>
      </c>
    </row>
    <row r="7">
      <c r="A7" t="s">
        <v>31</v>
      </c>
      <c r="B7" t="s">
        <v>28</v>
      </c>
      <c r="C7">
        <v>8000000</v>
      </c>
      <c r="D7">
        <v>0.014</v>
      </c>
      <c r="E7">
        <v>1.5</v>
      </c>
      <c r="F7">
        <f>C7*D7*E7</f>
        <v>168000</v>
      </c>
    </row>
    <row r="8">
      <c r="A8" t="s">
        <v>32</v>
      </c>
      <c r="B8" t="s">
        <v>33</v>
      </c>
      <c r="C8">
        <v>2500000</v>
      </c>
      <c r="D8">
        <v>0.011</v>
      </c>
      <c r="E8">
        <v>2</v>
      </c>
      <c r="F8">
        <f>C8*D8*E8</f>
        <v>55000</v>
      </c>
    </row>
    <row r="9">
      <c r="A9" t="s">
        <v>34</v>
      </c>
      <c r="B9" t="s">
        <v>35</v>
      </c>
      <c r="C9">
        <v>1800000</v>
      </c>
      <c r="D9">
        <v>0.0197</v>
      </c>
      <c r="E9">
        <v>2.5</v>
      </c>
      <c r="F9">
        <f>C9*D9*E9</f>
        <v>88650</v>
      </c>
    </row>
    <row r="10">
      <c r="A10" t="s">
        <v>36</v>
      </c>
      <c r="B10" t="s">
        <v>37</v>
      </c>
      <c r="C10">
        <f>SUM(C5:C9)</f>
        <v>21100000</v>
      </c>
      <c r="D10" t="s">
        <v>37</v>
      </c>
      <c r="E10" t="s">
        <v>37</v>
      </c>
      <c r="F10">
        <f>SUM(F5:F9)</f>
        <v>544950</v>
      </c>
    </row>
    <row r="12">
      <c r="A12" t="s">
        <v>38</v>
      </c>
      <c r="B12" t="s">
        <v>39</v>
      </c>
    </row>
    <row r="13">
      <c r="A13" t="s">
        <v>40</v>
      </c>
      <c r="B13" t="s">
        <v>41</v>
      </c>
    </row>
  </sheetData>
  <mergeCells count="4">
    <mergeCell ref="A1:F1"/>
    <mergeCell ref="A2:F2"/>
    <mergeCell ref="B12:F12"/>
    <mergeCell ref="B13:F13"/>
  </mergeCells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30.83203125" customWidth="1"/>
    <col min="2" max="2" width="18.83203125" customWidth="1"/>
    <col min="3" max="3" width="16.83203125" customWidth="1"/>
    <col min="4" max="4" width="22.83203125" customWidth="1"/>
    <col min="5" max="5" width="16.83203125" customWidth="1"/>
    <col min="6" max="6" width="18.83203125" customWidth="1"/>
  </cols>
  <sheetData>
    <row r="1">
      <c r="A1" t="s">
        <v>42</v>
      </c>
    </row>
    <row r="2">
      <c r="A2" t="s">
        <v>43</v>
      </c>
    </row>
    <row r="4">
      <c r="A4" t="s">
        <v>21</v>
      </c>
      <c r="B4" t="s">
        <v>23</v>
      </c>
      <c r="C4" t="s">
        <v>24</v>
      </c>
      <c r="D4" t="s">
        <v>44</v>
      </c>
      <c r="E4" t="s">
        <v>45</v>
      </c>
      <c r="F4" t="s">
        <v>46</v>
      </c>
    </row>
    <row r="5">
      <c r="A5" t="s">
        <v>27</v>
      </c>
      <c r="B5">
        <v>5000000</v>
      </c>
      <c r="C5">
        <v>0.0125</v>
      </c>
      <c r="D5">
        <f>B5*C5</f>
        <v>62500</v>
      </c>
      <c r="E5">
        <f>B5/B12</f>
        <v>0.176056338028169</v>
      </c>
      <c r="F5">
        <f>D5/B12</f>
        <v>0.0022007042253521128</v>
      </c>
    </row>
    <row r="6">
      <c r="A6" t="s">
        <v>29</v>
      </c>
      <c r="B6">
        <v>3800000</v>
      </c>
      <c r="C6">
        <v>0.0095</v>
      </c>
      <c r="D6">
        <f>B6*C6</f>
        <v>36100</v>
      </c>
      <c r="E6">
        <f>B6/B12</f>
        <v>0.13380281690140844</v>
      </c>
      <c r="F6">
        <f>D6/B12</f>
        <v>0.0012711267605633803</v>
      </c>
    </row>
    <row r="7">
      <c r="A7" t="s">
        <v>31</v>
      </c>
      <c r="B7">
        <v>8000000</v>
      </c>
      <c r="C7">
        <v>0.014</v>
      </c>
      <c r="D7">
        <f>B7*C7</f>
        <v>112000</v>
      </c>
      <c r="E7">
        <f>B7/B12</f>
        <v>0.28169014084507044</v>
      </c>
      <c r="F7">
        <f>D7/B12</f>
        <v>0.003943661971830986</v>
      </c>
    </row>
    <row r="8">
      <c r="A8" t="s">
        <v>32</v>
      </c>
      <c r="B8">
        <v>2500000</v>
      </c>
      <c r="C8">
        <v>0.011</v>
      </c>
      <c r="D8">
        <f>B8*C8</f>
        <v>27500</v>
      </c>
      <c r="E8">
        <f>B8/B12</f>
        <v>0.0880281690140845</v>
      </c>
      <c r="F8">
        <f>D8/B12</f>
        <v>0.0009683098591549296</v>
      </c>
    </row>
    <row r="9">
      <c r="A9" t="s">
        <v>34</v>
      </c>
      <c r="B9">
        <v>1800000</v>
      </c>
      <c r="C9">
        <v>0.0197</v>
      </c>
      <c r="D9">
        <f>B9*C9</f>
        <v>35460</v>
      </c>
      <c r="E9">
        <f>B9/B12</f>
        <v>0.06338028169014084</v>
      </c>
      <c r="F9">
        <f>D9/B12</f>
        <v>0.0012485915492957747</v>
      </c>
    </row>
    <row r="10">
      <c r="A10" t="s">
        <v>47</v>
      </c>
      <c r="B10">
        <v>4200000</v>
      </c>
      <c r="C10">
        <v>0.013</v>
      </c>
      <c r="D10">
        <f>B10*C10</f>
        <v>54600</v>
      </c>
      <c r="E10">
        <f>B10/B12</f>
        <v>0.14788732394366197</v>
      </c>
      <c r="F10">
        <f>D10/B12</f>
        <v>0.0019225352112676056</v>
      </c>
    </row>
    <row r="11">
      <c r="A11" t="s">
        <v>48</v>
      </c>
      <c r="B11">
        <v>3100000</v>
      </c>
      <c r="C11">
        <v>0.0108</v>
      </c>
      <c r="D11">
        <f>B11*C11</f>
        <v>33480</v>
      </c>
      <c r="E11">
        <f>B11/B12</f>
        <v>0.10915492957746478</v>
      </c>
      <c r="F11">
        <f>D11/B12</f>
        <v>0.0011788732394366198</v>
      </c>
    </row>
    <row r="12">
      <c r="A12" t="s">
        <v>49</v>
      </c>
      <c r="B12">
        <f>SUM(B5:B11)</f>
        <v>28400000</v>
      </c>
      <c r="C12" t="s">
        <v>37</v>
      </c>
      <c r="D12">
        <f>SUM(D5:D11)</f>
        <v>361640</v>
      </c>
      <c r="E12">
        <v>1</v>
      </c>
      <c r="F12">
        <f>D12/B12</f>
        <v>0.012733802816901408</v>
      </c>
    </row>
    <row r="14">
      <c r="A14" t="s">
        <v>50</v>
      </c>
      <c r="B14">
        <v>0.012733802816901408</v>
      </c>
      <c r="C14" t="s">
        <v>51</v>
      </c>
    </row>
    <row r="15">
      <c r="A15" t="s">
        <v>52</v>
      </c>
      <c r="B15">
        <v>0.012</v>
      </c>
      <c r="C15" t="s">
        <v>53</v>
      </c>
    </row>
  </sheetData>
  <mergeCells count="4">
    <mergeCell ref="A1:F1"/>
    <mergeCell ref="A2:F2"/>
    <mergeCell ref="C14:F14"/>
    <mergeCell ref="C15:F15"/>
  </mergeCells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6.83203125" customWidth="1"/>
    <col min="5" max="5" width="18.83203125" customWidth="1"/>
    <col min="6" max="6" width="18.83203125" customWidth="1"/>
    <col min="7" max="7" width="18.83203125" customWidth="1"/>
    <col min="8" max="8" width="16.83203125" customWidth="1"/>
  </cols>
  <sheetData>
    <row r="1">
      <c r="A1" t="s">
        <v>54</v>
      </c>
    </row>
    <row r="2">
      <c r="A2" t="s">
        <v>55</v>
      </c>
    </row>
    <row r="4">
      <c r="A4" t="s">
        <v>2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</row>
    <row r="5">
      <c r="A5" t="s">
        <v>63</v>
      </c>
      <c r="B5">
        <v>2000000</v>
      </c>
      <c r="C5">
        <v>1110500</v>
      </c>
      <c r="D5">
        <f>C5/B5</f>
        <v>0.55525</v>
      </c>
      <c r="E5">
        <f>B5-C5</f>
        <v>889500</v>
      </c>
      <c r="F5">
        <v>25000000</v>
      </c>
      <c r="G5">
        <v>11068192.79</v>
      </c>
      <c r="H5">
        <f>G5/F5</f>
        <v>0.44272771159999996</v>
      </c>
    </row>
    <row r="6">
      <c r="A6" t="s">
        <v>64</v>
      </c>
      <c r="B6">
        <v>400000000</v>
      </c>
      <c r="C6">
        <v>362758302</v>
      </c>
      <c r="D6">
        <f>C6/B6</f>
        <v>0.906895755</v>
      </c>
      <c r="E6">
        <f>B6-C6</f>
        <v>37241698</v>
      </c>
      <c r="F6">
        <v>400000000</v>
      </c>
      <c r="G6">
        <v>362758302</v>
      </c>
      <c r="H6">
        <f>G6/F6</f>
        <v>0.906895755</v>
      </c>
    </row>
    <row r="7">
      <c r="A7" t="s">
        <v>65</v>
      </c>
      <c r="B7">
        <v>20</v>
      </c>
      <c r="C7">
        <v>17</v>
      </c>
      <c r="D7">
        <f>C7/B7</f>
        <v>0.85</v>
      </c>
      <c r="E7">
        <f>B7-C7</f>
        <v>3</v>
      </c>
      <c r="F7">
        <v>20</v>
      </c>
      <c r="G7">
        <v>17</v>
      </c>
      <c r="H7">
        <f>G7/F7</f>
        <v>0.85</v>
      </c>
    </row>
    <row r="8">
      <c r="A8" t="s">
        <v>66</v>
      </c>
      <c r="B8">
        <v>0.012</v>
      </c>
      <c r="C8">
        <v>0.011502</v>
      </c>
      <c r="D8">
        <f>C8/B8</f>
        <v>0.9585</v>
      </c>
      <c r="E8">
        <f>B8-C8</f>
        <v>0.0004980000000000002</v>
      </c>
      <c r="F8">
        <v>0.012</v>
      </c>
      <c r="G8">
        <v>0.011502</v>
      </c>
      <c r="H8">
        <f>G8/F8</f>
        <v>0.9585</v>
      </c>
    </row>
    <row r="10">
      <c r="A10" t="s">
        <v>67</v>
      </c>
    </row>
    <row r="11">
      <c r="A11" t="s">
        <v>68</v>
      </c>
      <c r="B11" t="s">
        <v>69</v>
      </c>
      <c r="C11" t="s">
        <v>70</v>
      </c>
    </row>
    <row r="12">
      <c r="A12" t="s">
        <v>71</v>
      </c>
      <c r="B12" t="s">
        <v>72</v>
      </c>
      <c r="C12" t="s">
        <v>73</v>
      </c>
    </row>
    <row r="13">
      <c r="A13" t="s">
        <v>74</v>
      </c>
      <c r="B13" t="s">
        <v>75</v>
      </c>
      <c r="C13" t="s">
        <v>76</v>
      </c>
    </row>
  </sheetData>
  <mergeCells count="6">
    <mergeCell ref="A1:H1"/>
    <mergeCell ref="A2:H2"/>
    <mergeCell ref="A10:H10"/>
    <mergeCell ref="C11:H11"/>
    <mergeCell ref="C12:H12"/>
    <mergeCell ref="C13:H13"/>
  </mergeCells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3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  <col min="8" max="8" width="16.83203125" customWidth="1"/>
  </cols>
  <sheetData>
    <row r="1">
      <c r="A1" t="s">
        <v>77</v>
      </c>
    </row>
    <row r="2">
      <c r="A2" t="s">
        <v>78</v>
      </c>
    </row>
    <row r="4">
      <c r="A4" t="s">
        <v>79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</row>
    <row r="5">
      <c r="A5" t="s">
        <v>87</v>
      </c>
      <c r="B5">
        <v>0.005</v>
      </c>
      <c r="C5">
        <v>0.0035</v>
      </c>
      <c r="D5">
        <v>0.002</v>
      </c>
      <c r="E5">
        <f>B5+C5+D5</f>
        <v>0.0105</v>
      </c>
      <c r="F5">
        <v>0.0125</v>
      </c>
      <c r="G5">
        <f>F5-E5</f>
        <v>0.002</v>
      </c>
      <c r="H5" t="s">
        <v>88</v>
      </c>
    </row>
    <row r="6">
      <c r="A6" t="s">
        <v>89</v>
      </c>
      <c r="B6">
        <v>0.004</v>
      </c>
      <c r="C6">
        <v>0.003</v>
      </c>
      <c r="D6">
        <v>0.002</v>
      </c>
      <c r="E6">
        <f>B6+C6+D6</f>
        <v>0.009000000000000001</v>
      </c>
      <c r="F6">
        <v>0.0095</v>
      </c>
      <c r="G6">
        <f>F6-E6</f>
        <v>0.0004999999999999987</v>
      </c>
      <c r="H6" t="s">
        <v>88</v>
      </c>
    </row>
    <row r="7">
      <c r="A7" t="s">
        <v>90</v>
      </c>
      <c r="B7">
        <v>0.005</v>
      </c>
      <c r="C7">
        <v>0.0035</v>
      </c>
      <c r="D7">
        <v>0.002</v>
      </c>
      <c r="E7">
        <f>B7+C7+D7</f>
        <v>0.0105</v>
      </c>
      <c r="F7">
        <v>0.014</v>
      </c>
      <c r="G7">
        <f>F7-E7</f>
        <v>0.0034999999999999996</v>
      </c>
      <c r="H7" t="s">
        <v>88</v>
      </c>
    </row>
    <row r="8">
      <c r="A8" t="s">
        <v>91</v>
      </c>
      <c r="B8">
        <v>0.006</v>
      </c>
      <c r="C8">
        <v>0.004</v>
      </c>
      <c r="D8">
        <v>0.0025</v>
      </c>
      <c r="E8">
        <f>B8+C8+D8</f>
        <v>0.0125</v>
      </c>
      <c r="F8">
        <v>0.011</v>
      </c>
      <c r="G8">
        <f>F8-E8</f>
        <v>-0.0015000000000000013</v>
      </c>
      <c r="H8" t="s">
        <v>92</v>
      </c>
    </row>
    <row r="9">
      <c r="A9" t="s">
        <v>93</v>
      </c>
      <c r="B9">
        <v>0.003</v>
      </c>
      <c r="C9">
        <v>0.003</v>
      </c>
      <c r="D9">
        <v>0.002</v>
      </c>
      <c r="E9">
        <f>B9+C9+D9</f>
        <v>0.008</v>
      </c>
      <c r="F9">
        <v>0.0197</v>
      </c>
      <c r="G9">
        <f>F9-E9</f>
        <v>0.011699999999999999</v>
      </c>
      <c r="H9" t="s">
        <v>88</v>
      </c>
    </row>
    <row r="10">
      <c r="A10" t="s">
        <v>94</v>
      </c>
      <c r="B10">
        <v>0.005</v>
      </c>
      <c r="C10">
        <v>0.0035</v>
      </c>
      <c r="D10">
        <v>0.002</v>
      </c>
      <c r="E10">
        <f>B10+C10+D10</f>
        <v>0.0105</v>
      </c>
      <c r="F10">
        <v>0.013</v>
      </c>
      <c r="G10">
        <f>F10-E10</f>
        <v>0.0024999999999999988</v>
      </c>
      <c r="H10" t="s">
        <v>88</v>
      </c>
    </row>
    <row r="11">
      <c r="A11" t="s">
        <v>95</v>
      </c>
      <c r="B11">
        <v>0.007</v>
      </c>
      <c r="C11">
        <v>0.004</v>
      </c>
      <c r="D11">
        <v>0.003</v>
      </c>
      <c r="E11">
        <f>B11+C11+D11</f>
        <v>0.013999999999999999</v>
      </c>
      <c r="F11">
        <v>0.012</v>
      </c>
      <c r="G11">
        <f>F11-E11</f>
        <v>-0.0019999999999999983</v>
      </c>
      <c r="H11" t="s">
        <v>92</v>
      </c>
    </row>
  </sheetData>
  <mergeCells count="2">
    <mergeCell ref="A1:H1"/>
    <mergeCell ref="A2:H2"/>
  </mergeCells>
  <ignoredErrors>
    <ignoredError numberStoredAsText="1" sqref="A1:H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38.83203125" customWidth="1"/>
    <col min="2" max="2" width="22.83203125" customWidth="1"/>
    <col min="3" max="3" width="18.83203125" customWidth="1"/>
    <col min="4" max="4" width="22.83203125" customWidth="1"/>
    <col min="5" max="5" width="14.83203125" customWidth="1"/>
  </cols>
  <sheetData>
    <row r="1">
      <c r="A1" t="s">
        <v>96</v>
      </c>
    </row>
    <row r="2">
      <c r="A2" t="s">
        <v>97</v>
      </c>
    </row>
    <row r="4">
      <c r="A4" t="s">
        <v>98</v>
      </c>
      <c r="B4" t="s">
        <v>99</v>
      </c>
      <c r="C4" t="s">
        <v>100</v>
      </c>
      <c r="D4" t="s">
        <v>101</v>
      </c>
      <c r="E4" t="s">
        <v>102</v>
      </c>
    </row>
    <row r="5">
      <c r="A5" t="s">
        <v>103</v>
      </c>
      <c r="B5">
        <v>362758302</v>
      </c>
      <c r="C5">
        <v>5000000</v>
      </c>
      <c r="D5">
        <f>B5+C5</f>
        <v>367758302</v>
      </c>
      <c r="E5">
        <f>(D5-B5)/B5</f>
        <v>0.013783282070826321</v>
      </c>
    </row>
    <row r="6">
      <c r="A6" t="s">
        <v>104</v>
      </c>
      <c r="B6">
        <v>11068192.79</v>
      </c>
      <c r="C6">
        <v>125000</v>
      </c>
      <c r="D6">
        <f>B6+C6</f>
        <v>11193192.79</v>
      </c>
      <c r="E6">
        <f>(D6-B6)/B6</f>
        <v>0.01129362330162303</v>
      </c>
    </row>
    <row r="7">
      <c r="A7" t="s">
        <v>13</v>
      </c>
      <c r="B7">
        <v>0.011502</v>
      </c>
      <c r="C7">
        <v>0.0125</v>
      </c>
      <c r="D7">
        <f>B7+C7</f>
        <v>0.01151556869436492</v>
      </c>
      <c r="E7">
        <f>(D7-B7)/B7</f>
        <v>0.0011796813045487733</v>
      </c>
    </row>
    <row r="8">
      <c r="A8" t="s">
        <v>105</v>
      </c>
      <c r="B8">
        <v>17</v>
      </c>
      <c r="C8">
        <v>1</v>
      </c>
      <c r="D8">
        <f>B8+C8</f>
        <v>18</v>
      </c>
      <c r="E8">
        <f>(D8-B8)/B8</f>
        <v>0.058823529411764705</v>
      </c>
    </row>
    <row r="10">
      <c r="A10" t="s">
        <v>106</v>
      </c>
    </row>
    <row r="11">
      <c r="A11" t="s">
        <v>22</v>
      </c>
      <c r="B11" t="s">
        <v>107</v>
      </c>
      <c r="C11" t="s">
        <v>108</v>
      </c>
      <c r="D11" t="s">
        <v>109</v>
      </c>
      <c r="E11" t="s">
        <v>110</v>
      </c>
    </row>
    <row r="12">
      <c r="A12" t="s">
        <v>28</v>
      </c>
      <c r="B12">
        <v>5580000</v>
      </c>
      <c r="C12">
        <f>B12/11068192.79</f>
        <v>0.5041473441844521</v>
      </c>
      <c r="D12">
        <v>5705000</v>
      </c>
      <c r="E12">
        <f>D12/11193192.79</f>
        <v>0.509684779582895</v>
      </c>
    </row>
    <row r="13">
      <c r="A13" t="s">
        <v>30</v>
      </c>
      <c r="B13">
        <v>3100000</v>
      </c>
      <c r="C13">
        <f>B13/11068192.79</f>
        <v>0.28008185788025114</v>
      </c>
      <c r="D13">
        <v>3100000</v>
      </c>
      <c r="E13">
        <f>D13/11193192.79</f>
        <v>0.2769540432439921</v>
      </c>
    </row>
    <row r="14">
      <c r="A14" t="s">
        <v>33</v>
      </c>
      <c r="B14">
        <v>1650000</v>
      </c>
      <c r="C14">
        <f>B14/11068192.79</f>
        <v>0.149075827581424</v>
      </c>
      <c r="D14">
        <v>1650000</v>
      </c>
      <c r="E14">
        <f>D14/11193192.79</f>
        <v>0.14741102301696352</v>
      </c>
    </row>
    <row r="15">
      <c r="A15" t="s">
        <v>35</v>
      </c>
      <c r="B15">
        <v>738192.79</v>
      </c>
      <c r="C15">
        <f>B15/11068192.79</f>
        <v>0.06669497035387292</v>
      </c>
      <c r="D15">
        <v>738192.79</v>
      </c>
      <c r="E15">
        <f>D15/11193192.79</f>
        <v>0.06595015415614941</v>
      </c>
    </row>
    <row r="18">
      <c r="A18" t="s">
        <v>111</v>
      </c>
    </row>
    <row r="19">
      <c r="A19" t="s">
        <v>112</v>
      </c>
      <c r="B19">
        <v>2000000</v>
      </c>
      <c r="C19">
        <f>B19/B19</f>
        <v>1</v>
      </c>
    </row>
    <row r="20">
      <c r="A20" t="s">
        <v>113</v>
      </c>
      <c r="B20">
        <v>11068192.79</v>
      </c>
      <c r="C20">
        <f>B20/B19</f>
        <v>5.534096395</v>
      </c>
    </row>
    <row r="21">
      <c r="A21" t="s">
        <v>114</v>
      </c>
      <c r="B21">
        <v>125000</v>
      </c>
      <c r="C21">
        <f>B21/B19</f>
        <v>0.0625</v>
      </c>
    </row>
    <row r="22">
      <c r="A22" t="s">
        <v>115</v>
      </c>
      <c r="B22">
        <v>11193192.79</v>
      </c>
      <c r="C22">
        <f>B22/B19</f>
        <v>5.596596395</v>
      </c>
    </row>
    <row r="23">
      <c r="A23" t="s">
        <v>116</v>
      </c>
      <c r="B23">
        <v>-9193192.79</v>
      </c>
      <c r="C23">
        <f>B23/B19</f>
        <v>-4.596596395</v>
      </c>
    </row>
  </sheetData>
  <mergeCells count="4">
    <mergeCell ref="A1:E1"/>
    <mergeCell ref="A2:E2"/>
    <mergeCell ref="A10:E10"/>
    <mergeCell ref="A18:E18"/>
  </mergeCells>
  <ignoredErrors>
    <ignoredError numberStoredAsText="1" sqref="A1:E2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A15EF64A6E6D45BC3F8B85F291981F" ma:contentTypeVersion="12" ma:contentTypeDescription="Crie um novo documento." ma:contentTypeScope="" ma:versionID="1080b8e62f11c78000bf934e727016da">
  <xsd:schema xmlns:xsd="http://www.w3.org/2001/XMLSchema" xmlns:xs="http://www.w3.org/2001/XMLSchema" xmlns:p="http://schemas.microsoft.com/office/2006/metadata/properties" xmlns:ns2="da3e1692-5e12-4fdc-8f71-b45bb92bf479" xmlns:ns3="65478c58-49f4-4622-a823-6bde131dcefd" targetNamespace="http://schemas.microsoft.com/office/2006/metadata/properties" ma:root="true" ma:fieldsID="f09fde6e82e708a3c3b08a16c1e7fa2b" ns2:_="" ns3:_="">
    <xsd:import namespace="da3e1692-5e12-4fdc-8f71-b45bb92bf479"/>
    <xsd:import namespace="65478c58-49f4-4622-a823-6bde131dce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e1692-5e12-4fdc-8f71-b45bb92bf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2fd93e-9c87-4599-9d0e-ce60c31131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78c58-49f4-4622-a823-6bde131dcef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e16d1f-a00d-451c-996f-52f648594a2a}" ma:internalName="TaxCatchAll" ma:showField="CatchAllData" ma:web="65478c58-49f4-4622-a823-6bde131dce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3e1692-5e12-4fdc-8f71-b45bb92bf479">
      <Terms xmlns="http://schemas.microsoft.com/office/infopath/2007/PartnerControls"/>
    </lcf76f155ced4ddcb4097134ff3c332f>
    <TaxCatchAll xmlns="65478c58-49f4-4622-a823-6bde131dcefd" xsi:nil="true"/>
  </documentManagement>
</p:properties>
</file>

<file path=customXml/itemProps1.xml><?xml version="1.0" encoding="utf-8"?>
<ds:datastoreItem xmlns:ds="http://schemas.openxmlformats.org/officeDocument/2006/customXml" ds:itemID="{81638B4C-E59F-4B68-8D33-CCFED5AC7CBE}"/>
</file>

<file path=customXml/itemProps2.xml><?xml version="1.0" encoding="utf-8"?>
<ds:datastoreItem xmlns:ds="http://schemas.openxmlformats.org/officeDocument/2006/customXml" ds:itemID="{ADA67DF4-0190-4E0F-A748-699092F24EFA}"/>
</file>

<file path=customXml/itemProps3.xml><?xml version="1.0" encoding="utf-8"?>
<ds:datastoreItem xmlns:ds="http://schemas.openxmlformats.org/officeDocument/2006/customXml" ds:itemID="{6A6DB853-B433-4E52-A53D-E5F34C4F1E20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Cálculo Prêmio</vt:lpstr>
      <vt:lpstr>Taxa Méd Pond (TMP)</vt:lpstr>
      <vt:lpstr>Meta vs Realizado</vt:lpstr>
      <vt:lpstr>Composição Taxa</vt:lpstr>
      <vt:lpstr>Simulação Impacto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0x01010049A15EF64A6E6D45BC3F8B85F291981F</vt:lpwstr>
  </property>
</Properties>
</file>